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d80f14d846e0552/Desktop/Power Bi/ACSII Emp_data/"/>
    </mc:Choice>
  </mc:AlternateContent>
  <xr:revisionPtr revIDLastSave="938" documentId="8_{3DB4C04B-E51D-4AA5-A980-EF05DAAD5174}" xr6:coauthVersionLast="47" xr6:coauthVersionMax="47" xr10:uidLastSave="{2DC3038E-2591-4924-B2B0-364E179AD28C}"/>
  <bookViews>
    <workbookView xWindow="-108" yWindow="-108" windowWidth="23256" windowHeight="12456" xr2:uid="{0F88A0E1-5993-416C-B0FF-56DC009901FF}"/>
  </bookViews>
  <sheets>
    <sheet name="All teams" sheetId="1" r:id="rId1"/>
  </sheets>
  <definedNames>
    <definedName name="_xlnm._FilterDatabase" localSheetId="0" hidden="1">'All teams'!$A$1:$N$26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" i="1"/>
</calcChain>
</file>

<file path=xl/sharedStrings.xml><?xml version="1.0" encoding="utf-8"?>
<sst xmlns="http://schemas.openxmlformats.org/spreadsheetml/2006/main" count="160" uniqueCount="97">
  <si>
    <t>Employee Number</t>
  </si>
  <si>
    <t>Full Name</t>
  </si>
  <si>
    <t>Date Of Joining</t>
  </si>
  <si>
    <t>Department</t>
  </si>
  <si>
    <t>Reporting To</t>
  </si>
  <si>
    <t>Application Technology</t>
  </si>
  <si>
    <t>Sandeep Ramchandra Bhonde</t>
  </si>
  <si>
    <t>Tech Enablement</t>
  </si>
  <si>
    <t>Rashmi Batra</t>
  </si>
  <si>
    <t>Solutions Platform</t>
  </si>
  <si>
    <t>Infrastructure Services</t>
  </si>
  <si>
    <t>Jayant Gundurao Sanglikar</t>
  </si>
  <si>
    <t>Content Technology</t>
  </si>
  <si>
    <t>Sadasivam Saravanan -</t>
  </si>
  <si>
    <t>Satish Javalekar</t>
  </si>
  <si>
    <t>WFO days</t>
  </si>
  <si>
    <t>Expected days</t>
  </si>
  <si>
    <t>%</t>
  </si>
  <si>
    <t>Exception</t>
  </si>
  <si>
    <t>Yes</t>
  </si>
  <si>
    <t>No</t>
  </si>
  <si>
    <t>Jan 25</t>
  </si>
  <si>
    <t>Feb 25</t>
  </si>
  <si>
    <t>Mar 25</t>
  </si>
  <si>
    <t>Apr 25</t>
  </si>
  <si>
    <t>May 25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</si>
  <si>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</si>
  <si>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</si>
  <si>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</si>
  <si>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</si>
  <si>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</si>
  <si>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</si>
  <si>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</si>
  <si>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</si>
  <si>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</si>
  <si>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</si>
  <si>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</si>
  <si>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</si>
  <si>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</si>
  <si>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</si>
  <si>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</si>
  <si>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</si>
  <si>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</si>
  <si>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</si>
  <si>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</si>
  <si>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</si>
  <si>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</si>
  <si>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</si>
  <si>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</si>
  <si>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</si>
  <si>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</si>
  <si>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ABC</t>
  </si>
  <si>
    <t>BCD</t>
  </si>
  <si>
    <t>CDE</t>
  </si>
  <si>
    <t>DEF</t>
  </si>
  <si>
    <t>EFG</t>
  </si>
  <si>
    <t>FGH</t>
  </si>
  <si>
    <t>GHI</t>
  </si>
  <si>
    <t>HIJ</t>
  </si>
  <si>
    <t>IJK</t>
  </si>
  <si>
    <t>JKL</t>
  </si>
  <si>
    <t>KLM</t>
  </si>
  <si>
    <t>LMN</t>
  </si>
  <si>
    <t>MNO</t>
  </si>
  <si>
    <t>NOP</t>
  </si>
  <si>
    <t>OPQ</t>
  </si>
  <si>
    <t>PQR</t>
  </si>
  <si>
    <t>QRS</t>
  </si>
  <si>
    <t>RST</t>
  </si>
  <si>
    <t>STU</t>
  </si>
  <si>
    <t>TUX</t>
  </si>
  <si>
    <t>UXY</t>
  </si>
  <si>
    <t>XYZ</t>
  </si>
  <si>
    <t>YZA</t>
  </si>
  <si>
    <t>ZAB</t>
  </si>
  <si>
    <t>BCB</t>
  </si>
  <si>
    <t>LEAVES</t>
  </si>
  <si>
    <t>Jan w1</t>
  </si>
  <si>
    <t>Mar w1</t>
  </si>
  <si>
    <t>Feb w4</t>
  </si>
  <si>
    <t>Feb w2</t>
  </si>
  <si>
    <t>Feb w1</t>
  </si>
  <si>
    <t>Jan w4</t>
  </si>
  <si>
    <t>Mar w2</t>
  </si>
  <si>
    <t>Mar w3</t>
  </si>
  <si>
    <t>Mar w4</t>
  </si>
  <si>
    <t>Feb w3</t>
  </si>
  <si>
    <t>Jan w3</t>
  </si>
  <si>
    <t>Jan w2</t>
  </si>
  <si>
    <t>Apr w1</t>
  </si>
  <si>
    <t>Apr w2</t>
  </si>
  <si>
    <t>Apr w3</t>
  </si>
  <si>
    <t>Apr w4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</si>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</sst>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1" xfId="0" applyNumberFormat="1" applyFont="1" applyBorder="1"/>
    <xf numFmtId="164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49" fontId="2" fillId="0" borderId="2" xfId="0" applyNumberFormat="1" applyFont="1" applyBorder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F9CA-9412-4EF7-9C74-9C99D94DACCD}">
  <dimension ref="A1:AI26"/>
  <sheetViews>
    <sheetView tabSelected="1" topLeftCell="C1" workbookViewId="0">
      <selection activeCell="O6" sqref="O6"/>
    </sheetView>
  </sheetViews>
  <sheetFormatPr defaultRowHeight="14.4" x14ac:dyDescent="0.3"/>
  <cols>
    <col min="1" max="1" width="17.88671875" bestFit="1" customWidth="1"/>
    <col min="2" max="2" width="10" bestFit="1" customWidth="1"/>
    <col min="3" max="3" width="14.5546875" bestFit="1" customWidth="1"/>
    <col min="4" max="4" width="22" bestFit="1" customWidth="1"/>
    <col min="5" max="5" width="28.109375" bestFit="1" customWidth="1"/>
    <col min="6" max="6" width="6.33203125" bestFit="1" customWidth="1"/>
    <col min="7" max="7" width="6.6640625" bestFit="1" customWidth="1"/>
    <col min="8" max="8" width="7" bestFit="1" customWidth="1"/>
    <col min="9" max="9" width="6.5546875" bestFit="1" customWidth="1"/>
    <col min="10" max="10" width="7.33203125" bestFit="1" customWidth="1"/>
    <col min="12" max="12" width="12.5546875" customWidth="1"/>
  </cols>
  <sheetData>
    <row r="1" spans="1:3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21</v>
      </c>
      <c r="G1" s="3" t="s">
        <v>22</v>
      </c>
      <c r="H1" s="1" t="s">
        <v>23</v>
      </c>
      <c r="I1" s="4" t="s">
        <v>24</v>
      </c>
      <c r="J1" s="1" t="s">
        <v>25</v>
      </c>
      <c r="K1" s="1" t="s">
        <v>15</v>
      </c>
      <c r="L1" s="1" t="s">
        <v>16</v>
      </c>
      <c r="M1" s="1" t="s">
        <v>17</v>
      </c>
      <c r="N1" s="1" t="s">
        <v>18</v>
      </c>
      <c r="O1" s="11" t="s">
        <v>76</v>
      </c>
      <c r="P1" s="11" t="s">
        <v>77</v>
      </c>
      <c r="Q1" s="11" t="s">
        <v>88</v>
      </c>
      <c r="R1" s="11" t="s">
        <v>87</v>
      </c>
      <c r="S1" s="11" t="s">
        <v>82</v>
      </c>
      <c r="T1" s="11" t="s">
        <v>81</v>
      </c>
      <c r="U1" s="11" t="s">
        <v>80</v>
      </c>
      <c r="V1" s="11" t="s">
        <v>86</v>
      </c>
      <c r="W1" s="11" t="s">
        <v>79</v>
      </c>
      <c r="X1" s="11" t="s">
        <v>78</v>
      </c>
      <c r="Y1" s="11" t="s">
        <v>83</v>
      </c>
      <c r="Z1" s="11" t="s">
        <v>84</v>
      </c>
      <c r="AA1" s="11" t="s">
        <v>85</v>
      </c>
      <c r="AB1" s="11" t="s">
        <v>89</v>
      </c>
      <c r="AC1" s="11" t="s">
        <v>90</v>
      </c>
      <c r="AD1" s="11" t="s">
        <v>91</v>
      </c>
      <c r="AE1" s="11" t="s">
        <v>92</v>
      </c>
      <c r="AF1" s="11" t="s">
        <v>93</v>
      </c>
      <c r="AG1" s="11" t="s">
        <v>94</v>
      </c>
      <c r="AH1" s="11" t="s">
        <v>95</v>
      </c>
      <c r="AI1" s="11" t="s">
        <v>96</v>
      </c>
    </row>
    <row r="2" spans="1:35" x14ac:dyDescent="0.3">
      <c r="A2" s="5" t="s">
        <v>26</v>
      </c>
      <c r="B2" t="s">
        <v>51</v>
      </c>
      <c r="C2" s="6">
        <v>44928</v>
      </c>
      <c r="D2" s="5" t="s">
        <v>5</v>
      </c>
      <c r="E2" s="5" t="s">
        <v>8</v>
      </c>
      <c r="F2" s="7">
        <v>0</v>
      </c>
      <c r="G2" s="7">
        <v>1</v>
      </c>
      <c r="H2" s="7">
        <v>0</v>
      </c>
      <c r="I2" s="8">
        <v>0</v>
      </c>
      <c r="J2" s="7">
        <v>0</v>
      </c>
      <c r="K2" s="9">
        <v>1</v>
      </c>
      <c r="L2" s="9">
        <v>61</v>
      </c>
      <c r="M2" s="10">
        <v>1.639344262295082</v>
      </c>
      <c r="N2" s="9" t="s">
        <v>19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f>F2+G2+H2</f>
        <v>1</v>
      </c>
      <c r="AG2">
        <f>I2+J2+2</f>
        <v>2</v>
      </c>
      <c r="AH2">
        <v>1</v>
      </c>
      <c r="AI2">
        <v>2</v>
      </c>
    </row>
    <row r="3" spans="1:35" x14ac:dyDescent="0.3">
      <c r="A3" s="5" t="s">
        <v>27</v>
      </c>
      <c r="B3" t="s">
        <v>52</v>
      </c>
      <c r="C3" s="6">
        <v>45701</v>
      </c>
      <c r="D3" s="5" t="s">
        <v>9</v>
      </c>
      <c r="E3" s="5" t="s">
        <v>8</v>
      </c>
      <c r="F3" s="7">
        <v>0</v>
      </c>
      <c r="G3" s="7">
        <v>1</v>
      </c>
      <c r="H3" s="7">
        <v>11</v>
      </c>
      <c r="I3" s="8">
        <v>12</v>
      </c>
      <c r="J3" s="7">
        <v>3</v>
      </c>
      <c r="K3" s="9">
        <v>27</v>
      </c>
      <c r="L3" s="9">
        <v>45</v>
      </c>
      <c r="M3" s="10">
        <v>60</v>
      </c>
      <c r="N3" s="9" t="s">
        <v>20</v>
      </c>
      <c r="O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3</v>
      </c>
      <c r="Y3">
        <v>2</v>
      </c>
      <c r="Z3">
        <v>3</v>
      </c>
      <c r="AA3">
        <v>3</v>
      </c>
      <c r="AB3">
        <v>2</v>
      </c>
      <c r="AC3">
        <v>2</v>
      </c>
      <c r="AD3">
        <v>4</v>
      </c>
      <c r="AE3">
        <v>4</v>
      </c>
      <c r="AF3">
        <f t="shared" ref="AF3:AF26" si="0">F3+G3+H3</f>
        <v>12</v>
      </c>
      <c r="AG3">
        <f t="shared" ref="AG3:AG26" si="1">I3+J3+2</f>
        <v>17</v>
      </c>
      <c r="AH3">
        <v>15</v>
      </c>
      <c r="AI3">
        <v>12</v>
      </c>
    </row>
    <row r="4" spans="1:35" x14ac:dyDescent="0.3">
      <c r="A4" s="5" t="s">
        <v>28</v>
      </c>
      <c r="B4" t="s">
        <v>53</v>
      </c>
      <c r="C4" s="6">
        <v>44866</v>
      </c>
      <c r="D4" s="5" t="s">
        <v>5</v>
      </c>
      <c r="E4" s="5" t="s">
        <v>14</v>
      </c>
      <c r="F4" s="7">
        <v>9</v>
      </c>
      <c r="G4" s="7">
        <v>11</v>
      </c>
      <c r="H4" s="7">
        <v>10</v>
      </c>
      <c r="I4" s="8">
        <v>7</v>
      </c>
      <c r="J4" s="7">
        <v>7</v>
      </c>
      <c r="K4" s="9">
        <v>44</v>
      </c>
      <c r="L4" s="9">
        <v>61</v>
      </c>
      <c r="M4" s="10">
        <v>72.131147540983605</v>
      </c>
      <c r="N4" s="9" t="s">
        <v>20</v>
      </c>
      <c r="O4">
        <v>3</v>
      </c>
      <c r="P4">
        <v>2</v>
      </c>
      <c r="Q4">
        <v>2</v>
      </c>
      <c r="R4">
        <v>3</v>
      </c>
      <c r="S4">
        <v>2</v>
      </c>
      <c r="T4">
        <v>3</v>
      </c>
      <c r="U4">
        <v>3</v>
      </c>
      <c r="V4">
        <v>2</v>
      </c>
      <c r="W4">
        <v>3</v>
      </c>
      <c r="X4">
        <v>3</v>
      </c>
      <c r="Y4">
        <v>2</v>
      </c>
      <c r="Z4">
        <v>2</v>
      </c>
      <c r="AA4">
        <v>3</v>
      </c>
      <c r="AB4">
        <v>3</v>
      </c>
      <c r="AC4">
        <v>2</v>
      </c>
      <c r="AD4">
        <v>1</v>
      </c>
      <c r="AE4">
        <v>1</v>
      </c>
      <c r="AF4">
        <f t="shared" si="0"/>
        <v>30</v>
      </c>
      <c r="AG4">
        <f t="shared" si="1"/>
        <v>16</v>
      </c>
      <c r="AH4">
        <v>30</v>
      </c>
      <c r="AI4">
        <v>22</v>
      </c>
    </row>
    <row r="5" spans="1:35" x14ac:dyDescent="0.3">
      <c r="A5" s="5" t="s">
        <v>29</v>
      </c>
      <c r="B5" t="s">
        <v>54</v>
      </c>
      <c r="C5" s="6">
        <v>45139</v>
      </c>
      <c r="D5" s="5" t="s">
        <v>12</v>
      </c>
      <c r="E5" s="5" t="s">
        <v>11</v>
      </c>
      <c r="F5" s="7">
        <v>9</v>
      </c>
      <c r="G5" s="7">
        <v>8</v>
      </c>
      <c r="H5" s="7">
        <v>11</v>
      </c>
      <c r="I5" s="8">
        <v>14</v>
      </c>
      <c r="J5" s="7">
        <v>16</v>
      </c>
      <c r="K5" s="9">
        <v>58</v>
      </c>
      <c r="L5" s="9">
        <v>61</v>
      </c>
      <c r="M5" s="10">
        <v>95.081967213114751</v>
      </c>
      <c r="N5" s="9" t="s">
        <v>20</v>
      </c>
      <c r="O5">
        <v>1</v>
      </c>
      <c r="P5">
        <v>3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3</v>
      </c>
      <c r="Z5">
        <v>3</v>
      </c>
      <c r="AA5">
        <v>3</v>
      </c>
      <c r="AB5">
        <v>4</v>
      </c>
      <c r="AC5">
        <v>5</v>
      </c>
      <c r="AD5">
        <v>3</v>
      </c>
      <c r="AE5">
        <v>2</v>
      </c>
      <c r="AF5">
        <f t="shared" si="0"/>
        <v>28</v>
      </c>
      <c r="AG5">
        <f t="shared" si="1"/>
        <v>32</v>
      </c>
      <c r="AH5">
        <v>34</v>
      </c>
      <c r="AI5">
        <v>30</v>
      </c>
    </row>
    <row r="6" spans="1:35" x14ac:dyDescent="0.3">
      <c r="A6" s="5" t="s">
        <v>30</v>
      </c>
      <c r="B6" t="s">
        <v>55</v>
      </c>
      <c r="C6" s="6">
        <v>44866</v>
      </c>
      <c r="D6" s="5" t="s">
        <v>5</v>
      </c>
      <c r="E6" s="5" t="s">
        <v>14</v>
      </c>
      <c r="F6" s="7">
        <v>7</v>
      </c>
      <c r="G6" s="7">
        <v>6</v>
      </c>
      <c r="H6" s="7">
        <v>9</v>
      </c>
      <c r="I6" s="8">
        <v>8</v>
      </c>
      <c r="J6" s="7">
        <v>8</v>
      </c>
      <c r="K6" s="9">
        <v>38</v>
      </c>
      <c r="L6" s="9">
        <v>61</v>
      </c>
      <c r="M6" s="10">
        <v>62.295081967213115</v>
      </c>
      <c r="N6" s="9" t="s">
        <v>20</v>
      </c>
      <c r="O6">
        <v>6</v>
      </c>
      <c r="P6">
        <v>2</v>
      </c>
      <c r="Q6">
        <v>1</v>
      </c>
      <c r="R6">
        <v>2</v>
      </c>
      <c r="S6">
        <v>2</v>
      </c>
      <c r="T6">
        <v>3</v>
      </c>
      <c r="U6">
        <v>3</v>
      </c>
      <c r="V6">
        <v>0</v>
      </c>
      <c r="W6">
        <v>0</v>
      </c>
      <c r="X6">
        <v>2</v>
      </c>
      <c r="Y6">
        <v>2</v>
      </c>
      <c r="Z6">
        <v>3</v>
      </c>
      <c r="AA6">
        <v>2</v>
      </c>
      <c r="AB6">
        <v>2</v>
      </c>
      <c r="AC6">
        <v>2</v>
      </c>
      <c r="AD6">
        <v>2</v>
      </c>
      <c r="AE6">
        <v>2</v>
      </c>
      <c r="AF6">
        <f t="shared" si="0"/>
        <v>22</v>
      </c>
      <c r="AG6">
        <f t="shared" si="1"/>
        <v>18</v>
      </c>
      <c r="AH6">
        <v>12</v>
      </c>
      <c r="AI6">
        <v>17</v>
      </c>
    </row>
    <row r="7" spans="1:35" x14ac:dyDescent="0.3">
      <c r="A7" s="5" t="s">
        <v>31</v>
      </c>
      <c r="B7" t="s">
        <v>56</v>
      </c>
      <c r="C7" s="6">
        <v>44866</v>
      </c>
      <c r="D7" s="5" t="s">
        <v>5</v>
      </c>
      <c r="E7" s="5" t="s">
        <v>8</v>
      </c>
      <c r="F7" s="7">
        <v>0</v>
      </c>
      <c r="G7" s="7">
        <v>4</v>
      </c>
      <c r="H7" s="7">
        <v>0</v>
      </c>
      <c r="I7" s="8">
        <v>0</v>
      </c>
      <c r="J7" s="7">
        <v>4</v>
      </c>
      <c r="K7" s="9">
        <v>8</v>
      </c>
      <c r="L7" s="9">
        <v>61</v>
      </c>
      <c r="M7" s="10">
        <v>13.114754098360656</v>
      </c>
      <c r="N7" s="9" t="s">
        <v>19</v>
      </c>
      <c r="O7">
        <v>3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f t="shared" si="0"/>
        <v>4</v>
      </c>
      <c r="AG7">
        <f t="shared" si="1"/>
        <v>6</v>
      </c>
      <c r="AH7">
        <v>1</v>
      </c>
      <c r="AI7">
        <v>2</v>
      </c>
    </row>
    <row r="8" spans="1:35" x14ac:dyDescent="0.3">
      <c r="A8" s="5" t="s">
        <v>32</v>
      </c>
      <c r="B8" t="s">
        <v>57</v>
      </c>
      <c r="C8" s="6">
        <v>44866</v>
      </c>
      <c r="D8" s="5" t="s">
        <v>7</v>
      </c>
      <c r="E8" s="5" t="s">
        <v>13</v>
      </c>
      <c r="F8" s="7">
        <v>12</v>
      </c>
      <c r="G8" s="7">
        <v>11</v>
      </c>
      <c r="H8" s="7">
        <v>9</v>
      </c>
      <c r="I8" s="8">
        <v>9</v>
      </c>
      <c r="J8" s="7">
        <v>2</v>
      </c>
      <c r="K8" s="9">
        <v>43</v>
      </c>
      <c r="L8" s="9">
        <v>61</v>
      </c>
      <c r="M8" s="10">
        <v>70.491803278688522</v>
      </c>
      <c r="N8" s="9" t="s">
        <v>20</v>
      </c>
      <c r="O8">
        <v>2</v>
      </c>
      <c r="P8">
        <v>3</v>
      </c>
      <c r="Q8">
        <v>3</v>
      </c>
      <c r="R8">
        <v>3</v>
      </c>
      <c r="S8">
        <v>3</v>
      </c>
      <c r="T8">
        <v>3</v>
      </c>
      <c r="U8">
        <v>2</v>
      </c>
      <c r="V8">
        <v>3</v>
      </c>
      <c r="W8">
        <v>3</v>
      </c>
      <c r="X8">
        <v>3</v>
      </c>
      <c r="Y8">
        <v>2</v>
      </c>
      <c r="Z8">
        <v>3</v>
      </c>
      <c r="AA8">
        <v>1</v>
      </c>
      <c r="AB8">
        <v>3</v>
      </c>
      <c r="AC8">
        <v>3</v>
      </c>
      <c r="AD8">
        <v>3</v>
      </c>
      <c r="AE8">
        <v>0</v>
      </c>
      <c r="AF8">
        <f t="shared" si="0"/>
        <v>32</v>
      </c>
      <c r="AG8">
        <f t="shared" si="1"/>
        <v>13</v>
      </c>
      <c r="AH8">
        <v>31</v>
      </c>
      <c r="AI8">
        <v>34</v>
      </c>
    </row>
    <row r="9" spans="1:35" x14ac:dyDescent="0.3">
      <c r="A9" s="5" t="s">
        <v>33</v>
      </c>
      <c r="B9" t="s">
        <v>58</v>
      </c>
      <c r="C9" s="6">
        <v>44881</v>
      </c>
      <c r="D9" s="5" t="s">
        <v>7</v>
      </c>
      <c r="E9" s="5" t="s">
        <v>13</v>
      </c>
      <c r="F9" s="7">
        <v>0</v>
      </c>
      <c r="G9" s="7">
        <v>5</v>
      </c>
      <c r="H9" s="7">
        <v>0</v>
      </c>
      <c r="I9" s="8">
        <v>0</v>
      </c>
      <c r="J9" s="7">
        <v>5</v>
      </c>
      <c r="K9" s="9">
        <v>10</v>
      </c>
      <c r="L9" s="9">
        <v>61</v>
      </c>
      <c r="M9" s="10">
        <v>16.393442622950818</v>
      </c>
      <c r="N9" s="9" t="s">
        <v>19</v>
      </c>
      <c r="O9">
        <v>1</v>
      </c>
      <c r="P9">
        <v>0</v>
      </c>
      <c r="Q9">
        <v>0</v>
      </c>
      <c r="R9">
        <v>0</v>
      </c>
      <c r="S9">
        <v>0</v>
      </c>
      <c r="T9">
        <v>2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f t="shared" si="0"/>
        <v>5</v>
      </c>
      <c r="AG9">
        <f t="shared" si="1"/>
        <v>7</v>
      </c>
      <c r="AH9">
        <v>6</v>
      </c>
      <c r="AI9">
        <v>7</v>
      </c>
    </row>
    <row r="10" spans="1:35" x14ac:dyDescent="0.3">
      <c r="A10" s="5" t="s">
        <v>34</v>
      </c>
      <c r="B10" t="s">
        <v>59</v>
      </c>
      <c r="C10" s="6">
        <v>45133</v>
      </c>
      <c r="D10" s="5" t="s">
        <v>5</v>
      </c>
      <c r="E10" s="5" t="s">
        <v>11</v>
      </c>
      <c r="F10" s="7">
        <v>0</v>
      </c>
      <c r="G10" s="7">
        <v>10</v>
      </c>
      <c r="H10" s="7">
        <v>0</v>
      </c>
      <c r="I10" s="8">
        <v>0</v>
      </c>
      <c r="J10" s="7">
        <v>0</v>
      </c>
      <c r="K10" s="9">
        <v>10</v>
      </c>
      <c r="L10" s="9">
        <v>61</v>
      </c>
      <c r="M10" s="10">
        <v>16.393442622950818</v>
      </c>
      <c r="N10" s="9" t="s">
        <v>19</v>
      </c>
      <c r="O10">
        <v>2</v>
      </c>
      <c r="P10">
        <v>0</v>
      </c>
      <c r="Q10">
        <v>0</v>
      </c>
      <c r="R10">
        <v>0</v>
      </c>
      <c r="S10">
        <v>0</v>
      </c>
      <c r="T10">
        <v>2</v>
      </c>
      <c r="U10">
        <v>3</v>
      </c>
      <c r="V10">
        <v>3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f t="shared" si="0"/>
        <v>10</v>
      </c>
      <c r="AG10">
        <f t="shared" si="1"/>
        <v>2</v>
      </c>
      <c r="AH10">
        <v>3</v>
      </c>
      <c r="AI10">
        <v>4</v>
      </c>
    </row>
    <row r="11" spans="1:35" x14ac:dyDescent="0.3">
      <c r="A11" s="5" t="s">
        <v>35</v>
      </c>
      <c r="B11" t="s">
        <v>60</v>
      </c>
      <c r="C11" s="6">
        <v>44866</v>
      </c>
      <c r="D11" s="5" t="s">
        <v>9</v>
      </c>
      <c r="E11" s="5" t="s">
        <v>8</v>
      </c>
      <c r="F11" s="7">
        <v>11</v>
      </c>
      <c r="G11" s="7">
        <v>9</v>
      </c>
      <c r="H11" s="7">
        <v>7</v>
      </c>
      <c r="I11" s="8">
        <v>8</v>
      </c>
      <c r="J11" s="7">
        <v>7</v>
      </c>
      <c r="K11" s="9">
        <v>42</v>
      </c>
      <c r="L11" s="9">
        <v>61</v>
      </c>
      <c r="M11" s="10">
        <v>68.852459016393439</v>
      </c>
      <c r="N11" s="9" t="s">
        <v>20</v>
      </c>
      <c r="O11">
        <v>4</v>
      </c>
      <c r="P11">
        <v>3</v>
      </c>
      <c r="Q11">
        <v>2</v>
      </c>
      <c r="R11">
        <v>3</v>
      </c>
      <c r="S11">
        <v>3</v>
      </c>
      <c r="T11">
        <v>2</v>
      </c>
      <c r="U11">
        <v>2</v>
      </c>
      <c r="V11">
        <v>2</v>
      </c>
      <c r="W11">
        <v>3</v>
      </c>
      <c r="X11">
        <v>2</v>
      </c>
      <c r="Y11">
        <v>1</v>
      </c>
      <c r="Z11">
        <v>2</v>
      </c>
      <c r="AA11">
        <v>2</v>
      </c>
      <c r="AB11">
        <v>2</v>
      </c>
      <c r="AC11">
        <v>2</v>
      </c>
      <c r="AD11">
        <v>3</v>
      </c>
      <c r="AE11">
        <v>1</v>
      </c>
      <c r="AF11">
        <f t="shared" si="0"/>
        <v>27</v>
      </c>
      <c r="AG11">
        <f t="shared" si="1"/>
        <v>17</v>
      </c>
      <c r="AH11">
        <v>20</v>
      </c>
      <c r="AI11">
        <v>18</v>
      </c>
    </row>
    <row r="12" spans="1:35" x14ac:dyDescent="0.3">
      <c r="A12" s="5" t="s">
        <v>36</v>
      </c>
      <c r="B12" t="s">
        <v>61</v>
      </c>
      <c r="C12" s="6">
        <v>45628</v>
      </c>
      <c r="D12" s="5" t="s">
        <v>5</v>
      </c>
      <c r="E12" s="5" t="s">
        <v>14</v>
      </c>
      <c r="F12" s="7">
        <v>11</v>
      </c>
      <c r="G12" s="7">
        <v>9</v>
      </c>
      <c r="H12" s="7">
        <v>11</v>
      </c>
      <c r="I12" s="8">
        <v>9</v>
      </c>
      <c r="J12" s="7">
        <v>11</v>
      </c>
      <c r="K12" s="9">
        <v>51</v>
      </c>
      <c r="L12" s="9">
        <v>61</v>
      </c>
      <c r="M12" s="10">
        <v>83.606557377049185</v>
      </c>
      <c r="N12" s="9" t="s">
        <v>20</v>
      </c>
      <c r="O12">
        <v>2</v>
      </c>
      <c r="P12">
        <v>3</v>
      </c>
      <c r="Q12">
        <v>3</v>
      </c>
      <c r="R12">
        <v>2</v>
      </c>
      <c r="S12">
        <v>3</v>
      </c>
      <c r="T12">
        <v>3</v>
      </c>
      <c r="U12">
        <v>2</v>
      </c>
      <c r="V12">
        <v>2</v>
      </c>
      <c r="W12">
        <v>2</v>
      </c>
      <c r="X12">
        <v>3</v>
      </c>
      <c r="Y12">
        <v>3</v>
      </c>
      <c r="Z12">
        <v>3</v>
      </c>
      <c r="AA12">
        <v>2</v>
      </c>
      <c r="AB12">
        <v>3</v>
      </c>
      <c r="AC12">
        <v>0</v>
      </c>
      <c r="AD12" s="12">
        <v>3</v>
      </c>
      <c r="AE12">
        <v>3</v>
      </c>
      <c r="AF12">
        <f t="shared" si="0"/>
        <v>31</v>
      </c>
      <c r="AG12">
        <f t="shared" si="1"/>
        <v>22</v>
      </c>
      <c r="AH12">
        <v>20</v>
      </c>
      <c r="AI12">
        <v>15</v>
      </c>
    </row>
    <row r="13" spans="1:35" x14ac:dyDescent="0.3">
      <c r="A13" s="5" t="s">
        <v>37</v>
      </c>
      <c r="B13" t="s">
        <v>62</v>
      </c>
      <c r="C13" s="6">
        <v>44866</v>
      </c>
      <c r="D13" s="5" t="s">
        <v>5</v>
      </c>
      <c r="E13" s="5" t="s">
        <v>6</v>
      </c>
      <c r="F13" s="7">
        <v>0</v>
      </c>
      <c r="G13" s="7">
        <v>1</v>
      </c>
      <c r="H13" s="7">
        <v>0</v>
      </c>
      <c r="I13" s="8">
        <v>2</v>
      </c>
      <c r="J13" s="7">
        <v>10</v>
      </c>
      <c r="K13" s="9">
        <v>13</v>
      </c>
      <c r="L13" s="9">
        <v>61</v>
      </c>
      <c r="M13" s="10">
        <v>21.311475409836063</v>
      </c>
      <c r="N13" s="9" t="s">
        <v>20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f t="shared" si="0"/>
        <v>1</v>
      </c>
      <c r="AG13">
        <f t="shared" si="1"/>
        <v>14</v>
      </c>
      <c r="AH13">
        <v>16</v>
      </c>
      <c r="AI13">
        <v>20</v>
      </c>
    </row>
    <row r="14" spans="1:35" x14ac:dyDescent="0.3">
      <c r="A14" s="5" t="s">
        <v>38</v>
      </c>
      <c r="B14" t="s">
        <v>63</v>
      </c>
      <c r="C14" s="6">
        <v>44866</v>
      </c>
      <c r="D14" s="5" t="s">
        <v>12</v>
      </c>
      <c r="E14" s="5" t="s">
        <v>11</v>
      </c>
      <c r="F14" s="7">
        <v>9</v>
      </c>
      <c r="G14" s="7">
        <v>11</v>
      </c>
      <c r="H14" s="7">
        <v>10</v>
      </c>
      <c r="I14" s="8">
        <v>9</v>
      </c>
      <c r="J14" s="7">
        <v>1</v>
      </c>
      <c r="K14" s="9">
        <v>40</v>
      </c>
      <c r="L14" s="9">
        <v>61</v>
      </c>
      <c r="M14" s="10">
        <v>65.573770491803273</v>
      </c>
      <c r="N14" s="9" t="s">
        <v>20</v>
      </c>
      <c r="O14">
        <v>2</v>
      </c>
      <c r="P14">
        <v>2</v>
      </c>
      <c r="Q14">
        <v>2</v>
      </c>
      <c r="R14">
        <v>2</v>
      </c>
      <c r="S14">
        <v>3</v>
      </c>
      <c r="T14">
        <v>2</v>
      </c>
      <c r="U14">
        <v>3</v>
      </c>
      <c r="V14">
        <v>3</v>
      </c>
      <c r="W14">
        <v>3</v>
      </c>
      <c r="X14">
        <v>2</v>
      </c>
      <c r="Y14">
        <v>3</v>
      </c>
      <c r="Z14">
        <v>3</v>
      </c>
      <c r="AA14">
        <v>2</v>
      </c>
      <c r="AB14">
        <v>3</v>
      </c>
      <c r="AC14">
        <v>3</v>
      </c>
      <c r="AD14">
        <v>3</v>
      </c>
      <c r="AE14">
        <v>0</v>
      </c>
      <c r="AF14">
        <f t="shared" si="0"/>
        <v>30</v>
      </c>
      <c r="AG14">
        <f t="shared" si="1"/>
        <v>12</v>
      </c>
      <c r="AH14">
        <v>10</v>
      </c>
      <c r="AI14">
        <v>9</v>
      </c>
    </row>
    <row r="15" spans="1:35" x14ac:dyDescent="0.3">
      <c r="A15" s="5" t="s">
        <v>39</v>
      </c>
      <c r="B15" t="s">
        <v>64</v>
      </c>
      <c r="C15" s="6">
        <v>44866</v>
      </c>
      <c r="D15" s="5" t="s">
        <v>10</v>
      </c>
      <c r="E15" s="5" t="s">
        <v>8</v>
      </c>
      <c r="F15" s="7">
        <v>4</v>
      </c>
      <c r="G15" s="7">
        <v>3</v>
      </c>
      <c r="H15" s="7">
        <v>3</v>
      </c>
      <c r="I15" s="8">
        <v>4</v>
      </c>
      <c r="J15" s="7">
        <v>1</v>
      </c>
      <c r="K15" s="9">
        <v>15</v>
      </c>
      <c r="L15" s="9">
        <v>61</v>
      </c>
      <c r="M15" s="10">
        <v>24.590163934426229</v>
      </c>
      <c r="N15" s="9" t="s">
        <v>20</v>
      </c>
      <c r="O15">
        <v>1</v>
      </c>
      <c r="P15">
        <v>1</v>
      </c>
      <c r="Q15">
        <v>1</v>
      </c>
      <c r="R15">
        <v>0</v>
      </c>
      <c r="S15">
        <v>2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0</v>
      </c>
      <c r="AB15">
        <v>2</v>
      </c>
      <c r="AC15">
        <v>2</v>
      </c>
      <c r="AD15">
        <v>0</v>
      </c>
      <c r="AE15">
        <v>0</v>
      </c>
      <c r="AF15">
        <f t="shared" si="0"/>
        <v>10</v>
      </c>
      <c r="AG15">
        <f t="shared" si="1"/>
        <v>7</v>
      </c>
      <c r="AH15">
        <v>4</v>
      </c>
      <c r="AI15">
        <v>8</v>
      </c>
    </row>
    <row r="16" spans="1:35" x14ac:dyDescent="0.3">
      <c r="A16" s="5" t="s">
        <v>40</v>
      </c>
      <c r="B16" t="s">
        <v>65</v>
      </c>
      <c r="C16" s="6">
        <v>44866</v>
      </c>
      <c r="D16" s="5" t="s">
        <v>5</v>
      </c>
      <c r="E16" s="5" t="s">
        <v>6</v>
      </c>
      <c r="F16" s="7">
        <v>0</v>
      </c>
      <c r="G16" s="7">
        <v>3</v>
      </c>
      <c r="H16" s="7">
        <v>12</v>
      </c>
      <c r="I16" s="8">
        <v>0</v>
      </c>
      <c r="J16" s="7">
        <v>4</v>
      </c>
      <c r="K16" s="9">
        <v>19</v>
      </c>
      <c r="L16" s="9">
        <v>61</v>
      </c>
      <c r="M16" s="10">
        <v>31.147540983606557</v>
      </c>
      <c r="N16" s="9" t="s">
        <v>20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3</v>
      </c>
      <c r="Y16">
        <v>3</v>
      </c>
      <c r="Z16">
        <v>3</v>
      </c>
      <c r="AA16">
        <v>3</v>
      </c>
      <c r="AB16">
        <v>0</v>
      </c>
      <c r="AC16">
        <v>0</v>
      </c>
      <c r="AD16">
        <v>0</v>
      </c>
      <c r="AE16">
        <v>0</v>
      </c>
      <c r="AF16">
        <f t="shared" si="0"/>
        <v>15</v>
      </c>
      <c r="AG16">
        <f t="shared" si="1"/>
        <v>6</v>
      </c>
      <c r="AH16">
        <v>2</v>
      </c>
      <c r="AI16">
        <v>4</v>
      </c>
    </row>
    <row r="17" spans="1:35" x14ac:dyDescent="0.3">
      <c r="A17" s="5" t="s">
        <v>41</v>
      </c>
      <c r="B17" t="s">
        <v>66</v>
      </c>
      <c r="C17" s="6">
        <v>44866</v>
      </c>
      <c r="D17" s="5" t="s">
        <v>9</v>
      </c>
      <c r="E17" s="5" t="s">
        <v>8</v>
      </c>
      <c r="F17" s="7">
        <v>10</v>
      </c>
      <c r="G17" s="7">
        <v>3</v>
      </c>
      <c r="H17" s="7">
        <v>4</v>
      </c>
      <c r="I17" s="8">
        <v>1</v>
      </c>
      <c r="J17" s="7">
        <v>4</v>
      </c>
      <c r="K17" s="9">
        <v>22</v>
      </c>
      <c r="L17" s="9">
        <v>61</v>
      </c>
      <c r="M17" s="10">
        <v>36.065573770491802</v>
      </c>
      <c r="N17" s="9" t="s">
        <v>20</v>
      </c>
      <c r="O17">
        <v>4</v>
      </c>
      <c r="P17">
        <v>2</v>
      </c>
      <c r="Q17">
        <v>3</v>
      </c>
      <c r="R17">
        <v>3</v>
      </c>
      <c r="S17">
        <v>2</v>
      </c>
      <c r="T17">
        <v>1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f t="shared" si="0"/>
        <v>17</v>
      </c>
      <c r="AG17">
        <f t="shared" si="1"/>
        <v>7</v>
      </c>
      <c r="AH17">
        <v>6</v>
      </c>
      <c r="AI17">
        <v>7</v>
      </c>
    </row>
    <row r="18" spans="1:35" x14ac:dyDescent="0.3">
      <c r="A18" s="5" t="s">
        <v>42</v>
      </c>
      <c r="B18" t="s">
        <v>67</v>
      </c>
      <c r="C18" s="6">
        <v>44866</v>
      </c>
      <c r="D18" s="5" t="s">
        <v>5</v>
      </c>
      <c r="E18" s="5" t="s">
        <v>6</v>
      </c>
      <c r="F18" s="7">
        <v>4</v>
      </c>
      <c r="G18" s="7">
        <v>7</v>
      </c>
      <c r="H18" s="7">
        <v>2</v>
      </c>
      <c r="I18" s="8">
        <v>0</v>
      </c>
      <c r="J18" s="7">
        <v>11</v>
      </c>
      <c r="K18" s="9">
        <v>24</v>
      </c>
      <c r="L18" s="9">
        <v>61</v>
      </c>
      <c r="M18" s="10">
        <v>39.344262295081968</v>
      </c>
      <c r="N18" s="9" t="s">
        <v>20</v>
      </c>
      <c r="O18">
        <v>4</v>
      </c>
      <c r="P18">
        <v>2</v>
      </c>
      <c r="Q18">
        <v>0</v>
      </c>
      <c r="R18">
        <v>2</v>
      </c>
      <c r="S18">
        <v>0</v>
      </c>
      <c r="T18">
        <v>2</v>
      </c>
      <c r="U18">
        <v>3</v>
      </c>
      <c r="V18">
        <v>1</v>
      </c>
      <c r="W18">
        <v>1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 t="shared" si="0"/>
        <v>13</v>
      </c>
      <c r="AG18">
        <f t="shared" si="1"/>
        <v>13</v>
      </c>
      <c r="AH18">
        <v>10</v>
      </c>
      <c r="AI18">
        <v>12</v>
      </c>
    </row>
    <row r="19" spans="1:35" x14ac:dyDescent="0.3">
      <c r="A19" s="5" t="s">
        <v>43</v>
      </c>
      <c r="B19" t="s">
        <v>68</v>
      </c>
      <c r="C19" s="6">
        <v>44866</v>
      </c>
      <c r="D19" s="5" t="s">
        <v>9</v>
      </c>
      <c r="E19" s="5" t="s">
        <v>6</v>
      </c>
      <c r="F19" s="7">
        <v>7</v>
      </c>
      <c r="G19" s="7">
        <v>6</v>
      </c>
      <c r="H19" s="7">
        <v>6</v>
      </c>
      <c r="I19" s="8">
        <v>6</v>
      </c>
      <c r="J19" s="7">
        <v>0</v>
      </c>
      <c r="K19" s="9">
        <v>25</v>
      </c>
      <c r="L19" s="9">
        <v>61</v>
      </c>
      <c r="M19" s="10">
        <v>40.983606557377051</v>
      </c>
      <c r="N19" s="9" t="s">
        <v>20</v>
      </c>
      <c r="O19">
        <v>3</v>
      </c>
      <c r="P19">
        <v>2</v>
      </c>
      <c r="Q19">
        <v>2</v>
      </c>
      <c r="R19">
        <v>1</v>
      </c>
      <c r="S19">
        <v>2</v>
      </c>
      <c r="T19">
        <v>2</v>
      </c>
      <c r="U19">
        <v>2</v>
      </c>
      <c r="V19">
        <v>1</v>
      </c>
      <c r="W19">
        <v>1</v>
      </c>
      <c r="X19">
        <v>0</v>
      </c>
      <c r="Y19">
        <v>3</v>
      </c>
      <c r="Z19">
        <v>3</v>
      </c>
      <c r="AA19">
        <v>0</v>
      </c>
      <c r="AB19">
        <v>2</v>
      </c>
      <c r="AC19">
        <v>2</v>
      </c>
      <c r="AD19">
        <v>2</v>
      </c>
      <c r="AE19">
        <v>0</v>
      </c>
      <c r="AF19">
        <f t="shared" si="0"/>
        <v>19</v>
      </c>
      <c r="AG19">
        <f t="shared" si="1"/>
        <v>8</v>
      </c>
      <c r="AH19">
        <v>5</v>
      </c>
      <c r="AI19">
        <v>3</v>
      </c>
    </row>
    <row r="20" spans="1:35" x14ac:dyDescent="0.3">
      <c r="A20" s="5" t="s">
        <v>44</v>
      </c>
      <c r="B20" t="s">
        <v>69</v>
      </c>
      <c r="C20" s="6">
        <v>44866</v>
      </c>
      <c r="D20" s="5" t="s">
        <v>9</v>
      </c>
      <c r="E20" s="5" t="s">
        <v>8</v>
      </c>
      <c r="F20" s="7">
        <v>0</v>
      </c>
      <c r="G20" s="7">
        <v>8</v>
      </c>
      <c r="H20" s="7">
        <v>8</v>
      </c>
      <c r="I20" s="8">
        <v>7</v>
      </c>
      <c r="J20" s="7">
        <v>3</v>
      </c>
      <c r="K20" s="9">
        <v>26</v>
      </c>
      <c r="L20" s="9">
        <v>61</v>
      </c>
      <c r="M20" s="10">
        <v>42.622950819672127</v>
      </c>
      <c r="N20" s="9" t="s">
        <v>20</v>
      </c>
      <c r="O20">
        <v>2</v>
      </c>
      <c r="P20">
        <v>0</v>
      </c>
      <c r="Q20">
        <v>0</v>
      </c>
      <c r="R20">
        <v>0</v>
      </c>
      <c r="S20">
        <v>0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1</v>
      </c>
      <c r="AF20">
        <f t="shared" si="0"/>
        <v>16</v>
      </c>
      <c r="AG20">
        <f t="shared" si="1"/>
        <v>12</v>
      </c>
      <c r="AH20">
        <v>17</v>
      </c>
      <c r="AI20">
        <v>19</v>
      </c>
    </row>
    <row r="21" spans="1:35" x14ac:dyDescent="0.3">
      <c r="A21" s="5" t="s">
        <v>45</v>
      </c>
      <c r="B21" t="s">
        <v>70</v>
      </c>
      <c r="C21" s="6">
        <v>44866</v>
      </c>
      <c r="D21" s="5" t="s">
        <v>12</v>
      </c>
      <c r="E21" s="5" t="s">
        <v>11</v>
      </c>
      <c r="F21" s="7">
        <v>5</v>
      </c>
      <c r="G21" s="7">
        <v>5</v>
      </c>
      <c r="H21" s="7">
        <v>7</v>
      </c>
      <c r="I21" s="8">
        <v>4</v>
      </c>
      <c r="J21" s="7">
        <v>5</v>
      </c>
      <c r="K21" s="9">
        <v>26</v>
      </c>
      <c r="L21" s="9">
        <v>61</v>
      </c>
      <c r="M21" s="10">
        <v>42.622950819672127</v>
      </c>
      <c r="N21" s="9" t="s">
        <v>20</v>
      </c>
      <c r="O21">
        <v>2</v>
      </c>
      <c r="P21">
        <v>2</v>
      </c>
      <c r="Q21">
        <v>1</v>
      </c>
      <c r="R21">
        <v>1</v>
      </c>
      <c r="S21">
        <v>1</v>
      </c>
      <c r="T21">
        <v>3</v>
      </c>
      <c r="U21">
        <v>2</v>
      </c>
      <c r="V21">
        <v>0</v>
      </c>
      <c r="W21">
        <v>0</v>
      </c>
      <c r="X21">
        <v>2</v>
      </c>
      <c r="Y21">
        <v>2</v>
      </c>
      <c r="Z21">
        <v>3</v>
      </c>
      <c r="AA21">
        <v>0</v>
      </c>
      <c r="AB21">
        <v>2</v>
      </c>
      <c r="AC21">
        <v>0</v>
      </c>
      <c r="AD21">
        <v>2</v>
      </c>
      <c r="AE21">
        <v>0</v>
      </c>
      <c r="AF21">
        <f t="shared" si="0"/>
        <v>17</v>
      </c>
      <c r="AG21">
        <f t="shared" si="1"/>
        <v>11</v>
      </c>
      <c r="AH21">
        <v>14</v>
      </c>
      <c r="AI21">
        <v>10</v>
      </c>
    </row>
    <row r="22" spans="1:35" x14ac:dyDescent="0.3">
      <c r="A22" s="5" t="s">
        <v>46</v>
      </c>
      <c r="B22" t="s">
        <v>71</v>
      </c>
      <c r="C22" s="6">
        <v>44872</v>
      </c>
      <c r="D22" s="5" t="s">
        <v>9</v>
      </c>
      <c r="E22" s="5" t="s">
        <v>8</v>
      </c>
      <c r="F22" s="7">
        <v>0</v>
      </c>
      <c r="G22" s="7">
        <v>0</v>
      </c>
      <c r="H22" s="7">
        <v>0</v>
      </c>
      <c r="I22" s="8">
        <v>17</v>
      </c>
      <c r="J22" s="7">
        <v>9</v>
      </c>
      <c r="K22" s="9">
        <v>26</v>
      </c>
      <c r="L22" s="9">
        <v>61</v>
      </c>
      <c r="M22" s="10">
        <v>42.622950819672127</v>
      </c>
      <c r="N22" s="9" t="s">
        <v>20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</v>
      </c>
      <c r="AC22">
        <v>4</v>
      </c>
      <c r="AD22">
        <v>5</v>
      </c>
      <c r="AE22">
        <v>4</v>
      </c>
      <c r="AF22">
        <f t="shared" si="0"/>
        <v>0</v>
      </c>
      <c r="AG22">
        <f t="shared" si="1"/>
        <v>28</v>
      </c>
      <c r="AH22">
        <v>30</v>
      </c>
      <c r="AI22">
        <v>28</v>
      </c>
    </row>
    <row r="23" spans="1:35" x14ac:dyDescent="0.3">
      <c r="A23" s="5" t="s">
        <v>47</v>
      </c>
      <c r="B23" t="s">
        <v>72</v>
      </c>
      <c r="C23" s="6">
        <v>45075</v>
      </c>
      <c r="D23" s="5" t="s">
        <v>12</v>
      </c>
      <c r="E23" s="5" t="s">
        <v>11</v>
      </c>
      <c r="F23" s="7">
        <v>2</v>
      </c>
      <c r="G23" s="7">
        <v>0</v>
      </c>
      <c r="H23" s="7">
        <v>6</v>
      </c>
      <c r="I23" s="8">
        <v>13</v>
      </c>
      <c r="J23" s="7">
        <v>6</v>
      </c>
      <c r="K23" s="9">
        <v>27</v>
      </c>
      <c r="L23" s="9">
        <v>61</v>
      </c>
      <c r="M23" s="10">
        <v>44.26229508196721</v>
      </c>
      <c r="N23" s="9" t="s">
        <v>20</v>
      </c>
      <c r="O23">
        <v>2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2</v>
      </c>
      <c r="Z23">
        <v>1</v>
      </c>
      <c r="AA23">
        <v>1</v>
      </c>
      <c r="AB23">
        <v>4</v>
      </c>
      <c r="AC23">
        <v>4</v>
      </c>
      <c r="AD23">
        <v>3</v>
      </c>
      <c r="AE23">
        <v>2</v>
      </c>
      <c r="AF23">
        <f t="shared" si="0"/>
        <v>8</v>
      </c>
      <c r="AG23">
        <f t="shared" si="1"/>
        <v>21</v>
      </c>
      <c r="AH23">
        <v>20</v>
      </c>
      <c r="AI23">
        <v>30</v>
      </c>
    </row>
    <row r="24" spans="1:35" x14ac:dyDescent="0.3">
      <c r="A24" s="5" t="s">
        <v>48</v>
      </c>
      <c r="B24" t="s">
        <v>73</v>
      </c>
      <c r="C24" s="6">
        <v>44866</v>
      </c>
      <c r="D24" s="5" t="s">
        <v>5</v>
      </c>
      <c r="E24" s="5" t="s">
        <v>6</v>
      </c>
      <c r="F24" s="7">
        <v>5</v>
      </c>
      <c r="G24" s="7">
        <v>3</v>
      </c>
      <c r="H24" s="7">
        <v>6</v>
      </c>
      <c r="I24" s="8">
        <v>6</v>
      </c>
      <c r="J24" s="7">
        <v>8</v>
      </c>
      <c r="K24" s="9">
        <v>28</v>
      </c>
      <c r="L24" s="9">
        <v>61</v>
      </c>
      <c r="M24" s="10">
        <v>45.901639344262293</v>
      </c>
      <c r="N24" s="9" t="s">
        <v>20</v>
      </c>
      <c r="O24">
        <v>4</v>
      </c>
      <c r="P24">
        <v>2</v>
      </c>
      <c r="Q24">
        <v>0</v>
      </c>
      <c r="R24">
        <v>0</v>
      </c>
      <c r="S24">
        <v>3</v>
      </c>
      <c r="T24">
        <v>1</v>
      </c>
      <c r="U24">
        <v>0</v>
      </c>
      <c r="V24">
        <v>2</v>
      </c>
      <c r="W24">
        <v>0</v>
      </c>
      <c r="X24">
        <v>1</v>
      </c>
      <c r="Y24">
        <v>1</v>
      </c>
      <c r="Z24">
        <v>2</v>
      </c>
      <c r="AA24">
        <v>2</v>
      </c>
      <c r="AB24">
        <v>3</v>
      </c>
      <c r="AC24">
        <v>0</v>
      </c>
      <c r="AD24">
        <v>3</v>
      </c>
      <c r="AE24">
        <v>0</v>
      </c>
      <c r="AF24">
        <f t="shared" si="0"/>
        <v>14</v>
      </c>
      <c r="AG24">
        <f t="shared" si="1"/>
        <v>16</v>
      </c>
      <c r="AH24">
        <v>13</v>
      </c>
      <c r="AI24">
        <v>15</v>
      </c>
    </row>
    <row r="25" spans="1:35" x14ac:dyDescent="0.3">
      <c r="A25" s="5" t="s">
        <v>49</v>
      </c>
      <c r="B25" t="s">
        <v>74</v>
      </c>
      <c r="C25" s="6">
        <v>44866</v>
      </c>
      <c r="D25" s="5" t="s">
        <v>9</v>
      </c>
      <c r="E25" s="5" t="s">
        <v>11</v>
      </c>
      <c r="F25" s="7">
        <v>4</v>
      </c>
      <c r="G25" s="7">
        <v>0</v>
      </c>
      <c r="H25" s="7">
        <v>9</v>
      </c>
      <c r="I25" s="8">
        <v>11</v>
      </c>
      <c r="J25" s="7">
        <v>4</v>
      </c>
      <c r="K25" s="9">
        <v>28</v>
      </c>
      <c r="L25" s="9">
        <v>61</v>
      </c>
      <c r="M25" s="10">
        <v>45.901639344262293</v>
      </c>
      <c r="N25" s="9" t="s">
        <v>20</v>
      </c>
      <c r="O25">
        <v>1</v>
      </c>
      <c r="P25">
        <v>2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2</v>
      </c>
      <c r="Z25">
        <v>3</v>
      </c>
      <c r="AA25">
        <v>2</v>
      </c>
      <c r="AB25">
        <v>2</v>
      </c>
      <c r="AC25">
        <v>2</v>
      </c>
      <c r="AD25">
        <v>3</v>
      </c>
      <c r="AE25">
        <v>4</v>
      </c>
      <c r="AF25">
        <f t="shared" si="0"/>
        <v>13</v>
      </c>
      <c r="AG25">
        <f t="shared" si="1"/>
        <v>17</v>
      </c>
      <c r="AH25">
        <v>10</v>
      </c>
      <c r="AI25">
        <v>11</v>
      </c>
    </row>
    <row r="26" spans="1:35" x14ac:dyDescent="0.3">
      <c r="A26" s="5" t="s">
        <v>50</v>
      </c>
      <c r="B26" t="s">
        <v>75</v>
      </c>
      <c r="C26" s="6">
        <v>44866</v>
      </c>
      <c r="D26" s="5" t="s">
        <v>9</v>
      </c>
      <c r="E26" s="5" t="s">
        <v>8</v>
      </c>
      <c r="F26" s="7">
        <v>0</v>
      </c>
      <c r="G26" s="7">
        <v>14</v>
      </c>
      <c r="H26" s="7">
        <v>0</v>
      </c>
      <c r="I26" s="8">
        <v>14</v>
      </c>
      <c r="J26" s="7">
        <v>0</v>
      </c>
      <c r="K26" s="9">
        <v>28</v>
      </c>
      <c r="L26" s="9">
        <v>61</v>
      </c>
      <c r="M26" s="10">
        <v>45.901639344262293</v>
      </c>
      <c r="N26" s="9" t="s">
        <v>20</v>
      </c>
      <c r="O26">
        <v>3</v>
      </c>
      <c r="P26">
        <v>0</v>
      </c>
      <c r="Q26">
        <v>0</v>
      </c>
      <c r="R26">
        <v>0</v>
      </c>
      <c r="S26">
        <v>0</v>
      </c>
      <c r="T26">
        <v>4</v>
      </c>
      <c r="U26">
        <v>4</v>
      </c>
      <c r="V26">
        <v>4</v>
      </c>
      <c r="W26">
        <v>2</v>
      </c>
      <c r="X26">
        <v>0</v>
      </c>
      <c r="Y26">
        <v>0</v>
      </c>
      <c r="Z26">
        <v>0</v>
      </c>
      <c r="AA26">
        <v>0</v>
      </c>
      <c r="AB26">
        <v>4</v>
      </c>
      <c r="AC26">
        <v>4</v>
      </c>
      <c r="AD26">
        <v>4</v>
      </c>
      <c r="AE26">
        <v>2</v>
      </c>
      <c r="AF26">
        <f t="shared" si="0"/>
        <v>14</v>
      </c>
      <c r="AG26">
        <f t="shared" si="1"/>
        <v>16</v>
      </c>
      <c r="AH26">
        <v>17</v>
      </c>
      <c r="AI26">
        <v>15</v>
      </c>
    </row>
  </sheetData>
  <sortState xmlns:xlrd2="http://schemas.microsoft.com/office/spreadsheetml/2017/richdata2" ref="A2:M125">
    <sortCondition ref="M2:M125"/>
  </sortState>
  <phoneticPr fontId="3" type="noConversion"/>
  <conditionalFormatting sqref="B2:B2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Bhagyashree R</dc:creator>
  <cp:lastModifiedBy>Sanika Kolhe</cp:lastModifiedBy>
  <dcterms:created xsi:type="dcterms:W3CDTF">2025-06-18T13:25:55Z</dcterms:created>
  <dcterms:modified xsi:type="dcterms:W3CDTF">2025-07-22T06:58:32Z</dcterms:modified>
</cp:coreProperties>
</file>